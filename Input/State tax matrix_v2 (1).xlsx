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amcosol.sharepoint.com/sites/HudsonBailey/Shared Documents/Client Communication/Rating/"/>
    </mc:Choice>
  </mc:AlternateContent>
  <xr:revisionPtr revIDLastSave="14" documentId="8_{00938626-2761-414D-AC82-88EEE700301B}" xr6:coauthVersionLast="47" xr6:coauthVersionMax="47" xr10:uidLastSave="{50563D7E-D37A-4C33-87FD-08F125A6E5A6}"/>
  <bookViews>
    <workbookView xWindow="-28920" yWindow="-120" windowWidth="29040" windowHeight="17520" firstSheet="1" activeTab="1" xr2:uid="{EEC4262F-9D86-400B-8370-9AC45E7AD2E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6" i="2"/>
  <c r="C4" i="2"/>
  <c r="C3" i="2"/>
  <c r="C10" i="2" l="1"/>
</calcChain>
</file>

<file path=xl/sharedStrings.xml><?xml version="1.0" encoding="utf-8"?>
<sst xmlns="http://schemas.openxmlformats.org/spreadsheetml/2006/main" count="66" uniqueCount="65">
  <si>
    <t>STATE</t>
  </si>
  <si>
    <t>Surplus Lines</t>
  </si>
  <si>
    <t>Stamping Fee</t>
  </si>
  <si>
    <t>Fire Premium Tax</t>
  </si>
  <si>
    <t>ALABAMA</t>
  </si>
  <si>
    <t xml:space="preserve">ALASKA </t>
  </si>
  <si>
    <t>ARIZONA</t>
  </si>
  <si>
    <t>ARKANSAS</t>
  </si>
  <si>
    <t>CALIFORNIA</t>
  </si>
  <si>
    <t>COLORADO</t>
  </si>
  <si>
    <t>CONNECTICUT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</si>
  <si>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</si>
  <si>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</si>
  <si>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</si>
  <si>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</si>
  <si>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</si>
  <si>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</si>
  <si>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</si>
  <si>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r>
      <t xml:space="preserve">INDIANA  </t>
    </r>
    <r>
      <rPr>
        <sz val="9"/>
        <color rgb="FF000000"/>
        <rFont val="Arial"/>
        <family val="2"/>
      </rPr>
      <t>​</t>
    </r>
  </si>
  <si>
    <r>
      <t xml:space="preserve">IOWA  </t>
    </r>
    <r>
      <rPr>
        <sz val="9"/>
        <color rgb="FF000000"/>
        <rFont val="Arial"/>
        <family val="2"/>
      </rPr>
      <t>​</t>
    </r>
  </si>
  <si>
    <t xml:space="preserve">KANSAS </t>
  </si>
  <si>
    <t xml:space="preserve">KENTUCKY </t>
  </si>
  <si>
    <t xml:space="preserve">LOUISIANA </t>
  </si>
  <si>
    <t xml:space="preserve">MAINE </t>
  </si>
  <si>
    <r>
      <t xml:space="preserve">MARYLAND  </t>
    </r>
    <r>
      <rPr>
        <sz val="9"/>
        <color rgb="FF000000"/>
        <rFont val="Arial"/>
        <family val="2"/>
      </rPr>
      <t>​</t>
    </r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</si>
  <si>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</si>
  <si>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</si>
  <si>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</si>
  <si>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</si>
  <si>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</si>
  <si>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</si>
  <si>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</si>
  <si>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</si>
  <si>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r>
      <t xml:space="preserve">NEW HAMPSHIRE  </t>
    </r>
    <r>
      <rPr>
        <sz val="9"/>
        <color rgb="FF000000"/>
        <rFont val="Arial"/>
        <family val="2"/>
      </rPr>
      <t>​</t>
    </r>
  </si>
  <si>
    <t xml:space="preserve">NEW JERSEY </t>
  </si>
  <si>
    <r>
      <t xml:space="preserve">NEW MEXICO  </t>
    </r>
    <r>
      <rPr>
        <sz val="9"/>
        <color rgb="FF000000"/>
        <rFont val="Arial"/>
        <family val="2"/>
      </rPr>
      <t>​</t>
    </r>
  </si>
  <si>
    <t xml:space="preserve">NEW YORK  </t>
  </si>
  <si>
    <t xml:space="preserve">NORTH CAROLINA </t>
  </si>
  <si>
    <t xml:space="preserve">NORTH DAKOTA </t>
  </si>
  <si>
    <r>
      <t xml:space="preserve">OHIO  </t>
    </r>
    <r>
      <rPr>
        <sz val="9"/>
        <color rgb="FF000000"/>
        <rFont val="Arial"/>
        <family val="2"/>
      </rPr>
      <t>​</t>
    </r>
  </si>
  <si>
    <t xml:space="preserve">OKLAHOMA </t>
  </si>
  <si>
    <r>
      <t xml:space="preserve">OREGON </t>
    </r>
    <r>
      <rPr>
        <sz val="9"/>
        <color rgb="FF000000"/>
        <rFont val="Arial"/>
        <family val="2"/>
      </rPr>
      <t>​</t>
    </r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</si>
  <si>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</si>
  <si>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</si>
  <si>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</si>
  <si>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</si>
  <si>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</si>
  <si>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</si>
  <si>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</si>
  <si>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</si>
  <si>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</si>
  <si>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</si>
  <si>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</si>
  <si>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r>
      <t xml:space="preserve">WISCONSIN  </t>
    </r>
    <r>
      <rPr>
        <sz val="9"/>
        <color rgb="FF000000"/>
        <rFont val="Arial"/>
        <family val="2"/>
      </rPr>
      <t>​</t>
    </r>
  </si>
  <si>
    <t xml:space="preserve">WYOMING  </t>
  </si>
  <si>
    <t>Annual Premium:</t>
  </si>
  <si>
    <r>
      <t>Policy fees</t>
    </r>
    <r>
      <rPr>
        <sz val="8"/>
        <color rgb="FF000000"/>
        <rFont val="Arial"/>
        <family val="2"/>
      </rPr>
      <t>:</t>
    </r>
  </si>
  <si>
    <t>Surplus lines taxes:</t>
  </si>
  <si>
    <r>
      <t>Fire</t>
    </r>
    <r>
      <rPr>
        <sz val="8"/>
        <color rgb="FF000000"/>
        <rFont val="Arial"/>
        <family val="2"/>
      </rPr>
      <t xml:space="preserve"> premium taxes:</t>
    </r>
  </si>
  <si>
    <t>Surplus lines stamping fees:</t>
  </si>
  <si>
    <t>Flat fee:</t>
  </si>
  <si>
    <t>Percentage fee:</t>
  </si>
  <si>
    <t>Total surplus lines taxes:</t>
  </si>
  <si>
    <r>
      <t>Home state</t>
    </r>
    <r>
      <rPr>
        <sz val="8"/>
        <color rgb="FF000000"/>
        <rFont val="Arial"/>
        <family val="2"/>
      </rPr>
      <t>:</t>
    </r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</si>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</sst>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1"/>
      <name val="Aptos"/>
      <family val="2"/>
    </font>
    <font>
      <sz val="9"/>
      <color rgb="FF000000"/>
      <name val="Arial"/>
      <family val="2"/>
    </font>
    <font>
      <sz val="9"/>
      <color rgb="FF000000"/>
      <name val="Source Sans Pro"/>
      <family val="2"/>
    </font>
    <font>
      <sz val="9"/>
      <color rgb="FF000000"/>
      <name val="Aptos Narrow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83CAE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24">
    <xf numFmtId="0" fontId="0" fillId="0" borderId="0" xfId="0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2" fillId="2" borderId="1" xfId="2" applyAlignment="1">
      <alignment vertical="center" wrapText="1"/>
    </xf>
    <xf numFmtId="0" fontId="5" fillId="0" borderId="7" xfId="0" applyFont="1" applyBorder="1" applyAlignment="1">
      <alignment vertical="center"/>
    </xf>
    <xf numFmtId="164" fontId="2" fillId="2" borderId="1" xfId="1" applyNumberFormat="1" applyFont="1" applyFill="1" applyBorder="1" applyAlignment="1">
      <alignment vertical="center" wrapText="1"/>
    </xf>
    <xf numFmtId="44" fontId="7" fillId="0" borderId="5" xfId="1" applyFont="1" applyBorder="1" applyAlignment="1">
      <alignment vertical="center" wrapText="1"/>
    </xf>
    <xf numFmtId="164" fontId="7" fillId="0" borderId="5" xfId="1" applyNumberFormat="1" applyFont="1" applyBorder="1" applyAlignment="1">
      <alignment vertical="center" wrapText="1"/>
    </xf>
    <xf numFmtId="44" fontId="7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3" fillId="0" borderId="5" xfId="0" applyFont="1" applyBorder="1" applyAlignment="1">
      <alignment vertical="top"/>
    </xf>
    <xf numFmtId="0" fontId="6" fillId="0" borderId="7" xfId="0" applyFont="1" applyBorder="1" applyAlignment="1">
      <alignment vertical="center"/>
    </xf>
    <xf numFmtId="0" fontId="3" fillId="0" borderId="7" xfId="0" applyFont="1" applyBorder="1" applyAlignment="1">
      <alignment vertical="top"/>
    </xf>
    <xf numFmtId="0" fontId="6" fillId="5" borderId="6" xfId="0" applyFont="1" applyFill="1" applyBorder="1" applyAlignment="1">
      <alignment vertical="center"/>
    </xf>
    <xf numFmtId="0" fontId="9" fillId="4" borderId="8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</cellXfs>
  <cellStyles count="3">
    <cellStyle name="Currency" xfId="1" builtinId="4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2933-A2FA-4F7E-BD53-173A5D85187C}">
  <dimension ref="A1:D53"/>
  <sheetViews>
    <sheetView zoomScale="120" zoomScaleNormal="120"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18.42578125" bestFit="1" customWidth="1"/>
    <col min="3" max="3" width="17.5703125" customWidth="1"/>
    <col min="4" max="4" width="12.7109375" customWidth="1"/>
  </cols>
  <sheetData>
    <row r="1" spans="1:4" ht="36.7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>
      <c r="A2" s="3" t="s">
        <v>4</v>
      </c>
      <c r="B2" s="12">
        <v>0.06</v>
      </c>
      <c r="C2" s="12">
        <v>0</v>
      </c>
      <c r="D2" s="13"/>
    </row>
    <row r="3" spans="1:4" ht="15.75" thickBot="1">
      <c r="A3" s="3" t="s">
        <v>5</v>
      </c>
      <c r="B3" s="12">
        <v>2.7E-2</v>
      </c>
      <c r="C3" s="12">
        <v>0.01</v>
      </c>
      <c r="D3" s="13"/>
    </row>
    <row r="4" spans="1:4" ht="15.75" thickBot="1">
      <c r="A4" s="3" t="s">
        <v>6</v>
      </c>
      <c r="B4" s="12">
        <v>0.03</v>
      </c>
      <c r="C4" s="12">
        <v>2E-3</v>
      </c>
      <c r="D4" s="13"/>
    </row>
    <row r="5" spans="1:4" ht="15.75" thickBot="1">
      <c r="A5" s="3" t="s">
        <v>7</v>
      </c>
      <c r="B5" s="12">
        <v>0.04</v>
      </c>
      <c r="C5" s="12">
        <v>0</v>
      </c>
      <c r="D5" s="13"/>
    </row>
    <row r="6" spans="1:4" ht="15.75" thickBot="1">
      <c r="A6" s="3" t="s">
        <v>8</v>
      </c>
      <c r="B6" s="12">
        <v>0.03</v>
      </c>
      <c r="C6" s="12">
        <v>1.8E-3</v>
      </c>
      <c r="D6" s="13"/>
    </row>
    <row r="7" spans="1:4" ht="15.75" thickBot="1">
      <c r="A7" s="3" t="s">
        <v>9</v>
      </c>
      <c r="B7" s="12">
        <v>0.03</v>
      </c>
      <c r="C7" s="12">
        <v>0</v>
      </c>
      <c r="D7" s="13"/>
    </row>
    <row r="8" spans="1:4" ht="15.75" thickBot="1">
      <c r="A8" s="3" t="s">
        <v>10</v>
      </c>
      <c r="B8" s="12">
        <v>0.04</v>
      </c>
      <c r="C8" s="12">
        <v>0</v>
      </c>
      <c r="D8" s="13"/>
    </row>
    <row r="9" spans="1:4" ht="15.75" thickBot="1">
      <c r="A9" s="3" t="s">
        <v>11</v>
      </c>
      <c r="B9" s="12">
        <v>0.03</v>
      </c>
      <c r="C9" s="12">
        <v>0</v>
      </c>
      <c r="D9" s="13"/>
    </row>
    <row r="10" spans="1:4" ht="15.75" thickBot="1">
      <c r="A10" s="3" t="s">
        <v>12</v>
      </c>
      <c r="B10" s="12">
        <v>0.02</v>
      </c>
      <c r="C10" s="12">
        <v>0</v>
      </c>
      <c r="D10" s="13"/>
    </row>
    <row r="11" spans="1:4" ht="15.75" thickBot="1">
      <c r="A11" s="3" t="s">
        <v>13</v>
      </c>
      <c r="B11" s="12">
        <v>4.9399999999999999E-2</v>
      </c>
      <c r="C11" s="12">
        <v>5.9999999999999995E-4</v>
      </c>
      <c r="D11" s="13"/>
    </row>
    <row r="12" spans="1:4" ht="15.75" thickBot="1">
      <c r="A12" s="3" t="s">
        <v>14</v>
      </c>
      <c r="B12" s="12">
        <v>0.04</v>
      </c>
      <c r="C12" s="12">
        <v>0</v>
      </c>
      <c r="D12" s="13"/>
    </row>
    <row r="13" spans="1:4" ht="15.75" thickBot="1">
      <c r="A13" s="3" t="s">
        <v>15</v>
      </c>
      <c r="B13" s="12">
        <v>4.6800000000000001E-2</v>
      </c>
      <c r="C13" s="12">
        <v>0</v>
      </c>
      <c r="D13" s="13"/>
    </row>
    <row r="14" spans="1:4" ht="15.75" thickBot="1">
      <c r="A14" s="3" t="s">
        <v>16</v>
      </c>
      <c r="B14" s="12">
        <v>1.4999999999999999E-2</v>
      </c>
      <c r="C14" s="12">
        <v>5.0000000000000001E-3</v>
      </c>
      <c r="D14" s="13"/>
    </row>
    <row r="15" spans="1:4" ht="15.75" thickBot="1">
      <c r="A15" s="3" t="s">
        <v>17</v>
      </c>
      <c r="B15" s="12">
        <v>3.5000000000000003E-2</v>
      </c>
      <c r="C15" s="12">
        <v>4.0000000000000002E-4</v>
      </c>
      <c r="D15" s="12">
        <v>0.01</v>
      </c>
    </row>
    <row r="16" spans="1:4" ht="15.75" thickBot="1">
      <c r="A16" s="3" t="s">
        <v>18</v>
      </c>
      <c r="B16" s="12">
        <v>2.5000000000000001E-2</v>
      </c>
      <c r="C16" s="12">
        <v>0</v>
      </c>
      <c r="D16" s="13"/>
    </row>
    <row r="17" spans="1:4" ht="15.75" thickBot="1">
      <c r="A17" s="3" t="s">
        <v>19</v>
      </c>
      <c r="B17" s="12">
        <v>9.2499999999999995E-3</v>
      </c>
      <c r="C17" s="12">
        <v>0</v>
      </c>
      <c r="D17" s="13"/>
    </row>
    <row r="18" spans="1:4" ht="15.75" thickBot="1">
      <c r="A18" s="3" t="s">
        <v>20</v>
      </c>
      <c r="B18" s="12">
        <v>0.03</v>
      </c>
      <c r="C18" s="12">
        <v>0</v>
      </c>
      <c r="D18" s="13"/>
    </row>
    <row r="19" spans="1:4" ht="15.75" thickBot="1">
      <c r="A19" s="3" t="s">
        <v>21</v>
      </c>
      <c r="B19" s="12">
        <v>0.03</v>
      </c>
      <c r="C19" s="12">
        <v>1.7999999999999999E-2</v>
      </c>
      <c r="D19" s="13"/>
    </row>
    <row r="20" spans="1:4" ht="15.75" thickBot="1">
      <c r="A20" s="3" t="s">
        <v>22</v>
      </c>
      <c r="B20" s="12">
        <v>4.8500000000000001E-2</v>
      </c>
      <c r="C20" s="12">
        <v>0</v>
      </c>
      <c r="D20" s="13"/>
    </row>
    <row r="21" spans="1:4" ht="15.75" thickBot="1">
      <c r="A21" s="3" t="s">
        <v>23</v>
      </c>
      <c r="B21" s="12">
        <v>0.03</v>
      </c>
      <c r="C21" s="12">
        <v>0</v>
      </c>
      <c r="D21" s="13"/>
    </row>
    <row r="22" spans="1:4" ht="15.75" thickBot="1">
      <c r="A22" s="3" t="s">
        <v>24</v>
      </c>
      <c r="B22" s="12">
        <v>0.03</v>
      </c>
      <c r="C22" s="12">
        <v>0</v>
      </c>
      <c r="D22" s="13"/>
    </row>
    <row r="23" spans="1:4" ht="15.75" thickBot="1">
      <c r="A23" s="3" t="s">
        <v>25</v>
      </c>
      <c r="B23" s="12">
        <v>0.04</v>
      </c>
      <c r="C23" s="12">
        <v>0</v>
      </c>
      <c r="D23" s="13"/>
    </row>
    <row r="24" spans="1:4" ht="15.75" thickBot="1">
      <c r="A24" s="3" t="s">
        <v>26</v>
      </c>
      <c r="B24" s="12">
        <v>0.02</v>
      </c>
      <c r="C24" s="12">
        <v>5.0000000000000001E-3</v>
      </c>
      <c r="D24" s="13"/>
    </row>
    <row r="25" spans="1:4" ht="15.75" thickBot="1">
      <c r="A25" s="3" t="s">
        <v>27</v>
      </c>
      <c r="B25" s="12">
        <v>0.03</v>
      </c>
      <c r="C25" s="12">
        <v>4.0000000000000002E-4</v>
      </c>
      <c r="D25" s="13"/>
    </row>
    <row r="26" spans="1:4" ht="15.75" thickBot="1">
      <c r="A26" s="3" t="s">
        <v>28</v>
      </c>
      <c r="B26" s="12">
        <v>0.04</v>
      </c>
      <c r="C26" s="12">
        <v>2.5000000000000001E-3</v>
      </c>
      <c r="D26" s="13"/>
    </row>
    <row r="27" spans="1:4" ht="15.75" thickBot="1">
      <c r="A27" s="3" t="s">
        <v>29</v>
      </c>
      <c r="B27" s="12">
        <v>0.05</v>
      </c>
      <c r="C27" s="12">
        <v>0</v>
      </c>
      <c r="D27" s="13"/>
    </row>
    <row r="28" spans="1:4" ht="15.75" thickBot="1">
      <c r="A28" s="3" t="s">
        <v>30</v>
      </c>
      <c r="B28" s="12">
        <v>2.75E-2</v>
      </c>
      <c r="C28" s="12">
        <v>2.5000000000000001E-3</v>
      </c>
      <c r="D28" s="12">
        <v>2.5000000000000001E-2</v>
      </c>
    </row>
    <row r="29" spans="1:4" ht="15.75" thickBot="1">
      <c r="A29" s="3" t="s">
        <v>31</v>
      </c>
      <c r="B29" s="12">
        <v>0.03</v>
      </c>
      <c r="C29" s="12">
        <v>0</v>
      </c>
      <c r="D29" s="13"/>
    </row>
    <row r="30" spans="1:4" ht="15.75" thickBot="1">
      <c r="A30" s="3" t="s">
        <v>32</v>
      </c>
      <c r="B30" s="12">
        <v>3.5000000000000003E-2</v>
      </c>
      <c r="C30" s="12">
        <v>4.0000000000000001E-3</v>
      </c>
      <c r="D30" s="13"/>
    </row>
    <row r="31" spans="1:4" ht="15.75" thickBot="1">
      <c r="A31" s="3" t="s">
        <v>33</v>
      </c>
      <c r="B31" s="12">
        <v>0.03</v>
      </c>
      <c r="C31" s="12">
        <v>0</v>
      </c>
      <c r="D31" s="13"/>
    </row>
    <row r="32" spans="1:4" ht="15.75" thickBot="1">
      <c r="A32" s="3" t="s">
        <v>34</v>
      </c>
      <c r="B32" s="12">
        <v>0.05</v>
      </c>
      <c r="C32" s="12">
        <v>0</v>
      </c>
      <c r="D32" s="13"/>
    </row>
    <row r="33" spans="1:4" ht="15.75" thickBot="1">
      <c r="A33" s="3" t="s">
        <v>35</v>
      </c>
      <c r="B33" s="12">
        <v>3.0030000000000001E-2</v>
      </c>
      <c r="C33" s="12">
        <v>0</v>
      </c>
      <c r="D33" s="13"/>
    </row>
    <row r="34" spans="1:4" ht="15.75" thickBot="1">
      <c r="A34" s="3" t="s">
        <v>36</v>
      </c>
      <c r="B34" s="12">
        <v>3.5999999999999997E-2</v>
      </c>
      <c r="C34" s="12">
        <v>1.5E-3</v>
      </c>
      <c r="D34" s="13"/>
    </row>
    <row r="35" spans="1:4" ht="15.75" thickBot="1">
      <c r="A35" s="3" t="s">
        <v>37</v>
      </c>
      <c r="B35" s="12">
        <v>0.05</v>
      </c>
      <c r="C35" s="12">
        <v>3.0000000000000001E-3</v>
      </c>
      <c r="D35" s="13"/>
    </row>
    <row r="36" spans="1:4" ht="15.75" thickBot="1">
      <c r="A36" s="3" t="s">
        <v>38</v>
      </c>
      <c r="B36" s="12">
        <v>1.7500000000000002E-2</v>
      </c>
      <c r="C36" s="12">
        <v>0</v>
      </c>
      <c r="D36" s="13"/>
    </row>
    <row r="37" spans="1:4" ht="15.75" thickBot="1">
      <c r="A37" s="3" t="s">
        <v>39</v>
      </c>
      <c r="B37" s="12">
        <v>0.05</v>
      </c>
      <c r="C37" s="12">
        <v>0</v>
      </c>
      <c r="D37" s="13"/>
    </row>
    <row r="38" spans="1:4" ht="15.75" thickBot="1">
      <c r="A38" s="3" t="s">
        <v>40</v>
      </c>
      <c r="B38" s="12">
        <v>0.06</v>
      </c>
      <c r="C38" s="12">
        <v>1.75E-3</v>
      </c>
      <c r="D38" s="13"/>
    </row>
    <row r="39" spans="1:4" ht="15.75" thickBot="1">
      <c r="A39" s="7" t="s">
        <v>41</v>
      </c>
      <c r="B39" s="14">
        <v>0.02</v>
      </c>
      <c r="C39" s="16">
        <v>10</v>
      </c>
      <c r="D39" s="14">
        <v>3.0000000000000001E-3</v>
      </c>
    </row>
    <row r="40" spans="1:4">
      <c r="A40" s="7" t="s">
        <v>42</v>
      </c>
      <c r="B40" s="14">
        <v>0.03</v>
      </c>
      <c r="C40" s="16">
        <v>20</v>
      </c>
      <c r="D40" s="15"/>
    </row>
    <row r="41" spans="1:4" ht="15.75" thickBot="1">
      <c r="A41" s="3" t="s">
        <v>43</v>
      </c>
      <c r="B41" s="12">
        <v>0.04</v>
      </c>
      <c r="C41" s="12">
        <v>0</v>
      </c>
      <c r="D41" s="13"/>
    </row>
    <row r="42" spans="1:4" ht="15.75" thickBot="1">
      <c r="A42" s="3" t="s">
        <v>44</v>
      </c>
      <c r="B42" s="12">
        <v>0.06</v>
      </c>
      <c r="C42" s="12">
        <v>0</v>
      </c>
      <c r="D42" s="13"/>
    </row>
    <row r="43" spans="1:4" ht="15.75" thickBot="1">
      <c r="A43" s="3" t="s">
        <v>45</v>
      </c>
      <c r="B43" s="12">
        <v>2.5000000000000001E-2</v>
      </c>
      <c r="C43" s="12">
        <v>0</v>
      </c>
      <c r="D43" s="12">
        <v>0.03</v>
      </c>
    </row>
    <row r="44" spans="1:4">
      <c r="A44" s="3"/>
      <c r="B44" s="12"/>
      <c r="C44" s="12"/>
      <c r="D44" s="12"/>
    </row>
    <row r="45" spans="1:4" ht="15.75" thickBot="1">
      <c r="A45" s="3" t="s">
        <v>46</v>
      </c>
      <c r="B45" s="12">
        <v>0.05</v>
      </c>
      <c r="C45" s="12">
        <v>1.75E-3</v>
      </c>
      <c r="D45" s="13"/>
    </row>
    <row r="46" spans="1:4" ht="15.75" thickBot="1">
      <c r="A46" s="3" t="s">
        <v>47</v>
      </c>
      <c r="B46" s="12">
        <v>4.8500000000000001E-2</v>
      </c>
      <c r="C46" s="12">
        <v>4.0000000000000002E-4</v>
      </c>
      <c r="D46" s="13"/>
    </row>
    <row r="47" spans="1:4" ht="15.75" thickBot="1">
      <c r="A47" s="3" t="s">
        <v>48</v>
      </c>
      <c r="B47" s="12">
        <v>4.2500000000000003E-2</v>
      </c>
      <c r="C47" s="12">
        <v>1.8E-3</v>
      </c>
      <c r="D47" s="13"/>
    </row>
    <row r="48" spans="1:4" ht="15.75" thickBot="1">
      <c r="A48" s="3" t="s">
        <v>49</v>
      </c>
      <c r="B48" s="12">
        <v>0.03</v>
      </c>
      <c r="C48" s="12">
        <v>0</v>
      </c>
      <c r="D48" s="13"/>
    </row>
    <row r="49" spans="1:4" ht="15.75" thickBot="1">
      <c r="A49" s="3" t="s">
        <v>50</v>
      </c>
      <c r="B49" s="12">
        <v>2.2499999999999999E-2</v>
      </c>
      <c r="C49" s="12">
        <v>0</v>
      </c>
      <c r="D49" s="13"/>
    </row>
    <row r="50" spans="1:4" ht="15.75" thickBot="1">
      <c r="A50" s="3" t="s">
        <v>51</v>
      </c>
      <c r="B50" s="12">
        <v>0.02</v>
      </c>
      <c r="C50" s="12">
        <v>3.0000000000000001E-3</v>
      </c>
      <c r="D50" s="13"/>
    </row>
    <row r="51" spans="1:4" ht="15.75" thickBot="1">
      <c r="A51" s="3" t="s">
        <v>52</v>
      </c>
      <c r="B51" s="12">
        <v>4.5499999999999999E-2</v>
      </c>
      <c r="C51" s="12">
        <v>0</v>
      </c>
      <c r="D51" s="13"/>
    </row>
    <row r="52" spans="1:4" ht="15.75" thickBot="1">
      <c r="A52" s="3" t="s">
        <v>53</v>
      </c>
      <c r="B52" s="12">
        <v>0.03</v>
      </c>
      <c r="C52" s="12">
        <v>0</v>
      </c>
      <c r="D52" s="13"/>
    </row>
    <row r="53" spans="1:4" ht="15.75" thickBot="1">
      <c r="A53" s="3" t="s">
        <v>54</v>
      </c>
      <c r="B53" s="12">
        <v>0.03</v>
      </c>
      <c r="C53" s="12">
        <v>1.75E-3</v>
      </c>
      <c r="D5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2104-A239-4C9D-B406-E4A361D7F7BC}">
  <dimension ref="A1:C11"/>
  <sheetViews>
    <sheetView tabSelected="1" zoomScale="140" zoomScaleNormal="140" workbookViewId="0">
      <selection activeCell="F10" sqref="F10"/>
    </sheetView>
  </sheetViews>
  <sheetFormatPr defaultRowHeight="15"/>
  <cols>
    <col min="3" max="3" width="23.5703125" customWidth="1"/>
  </cols>
  <sheetData>
    <row r="1" spans="1:3">
      <c r="A1" s="19" t="s">
        <v>55</v>
      </c>
      <c r="B1" s="20"/>
      <c r="C1" s="8">
        <v>2457.9699999999998</v>
      </c>
    </row>
    <row r="2" spans="1:3">
      <c r="A2" s="17" t="s">
        <v>56</v>
      </c>
      <c r="B2" s="18"/>
      <c r="C2" s="10">
        <v>155</v>
      </c>
    </row>
    <row r="3" spans="1:3" ht="15.75" thickBot="1">
      <c r="A3" s="19" t="s">
        <v>57</v>
      </c>
      <c r="B3" s="20"/>
      <c r="C3" s="11">
        <f>ROUND(VLOOKUP(C9,Sheet1!A2:B53,2,FALSE)*(C1+C2),2)</f>
        <v>78.39</v>
      </c>
    </row>
    <row r="4" spans="1:3" ht="15.75" thickBot="1">
      <c r="A4" s="17" t="s">
        <v>58</v>
      </c>
      <c r="B4" s="18"/>
      <c r="C4" s="9">
        <f>ROUND(VLOOKUP(C9,Sheet1!A2:D53,4,FALSE)*(C1+C2),2)</f>
        <v>0</v>
      </c>
    </row>
    <row r="5" spans="1:3" ht="22.5" customHeight="1" thickBot="1">
      <c r="A5" s="19" t="s">
        <v>59</v>
      </c>
      <c r="B5" s="20"/>
      <c r="C5" s="9"/>
    </row>
    <row r="6" spans="1:3" ht="15.75" thickBot="1">
      <c r="A6" s="4">
        <v>1</v>
      </c>
      <c r="B6" s="5" t="s">
        <v>60</v>
      </c>
      <c r="C6" s="9">
        <f>IF(VLOOKUP(C9,Sheet1!A2:D53,3,FALSE)&gt;9.99,(VLOOKUP(C9,Sheet1!A2:D53,3,FALSE)),0)</f>
        <v>0</v>
      </c>
    </row>
    <row r="7" spans="1:3" ht="23.25" thickBot="1">
      <c r="A7" s="4">
        <v>2</v>
      </c>
      <c r="B7" s="5" t="s">
        <v>61</v>
      </c>
      <c r="C7" s="9">
        <f>IF(VLOOKUP(C9,Sheet1!A2:D53,3,FALSE)&gt;9.99,0,ROUND((VLOOKUP(C9,Sheet1!A2:D53,3,FALSE)*(Sheet2!C1+Sheet2!C2)),2))</f>
        <v>4.7</v>
      </c>
    </row>
    <row r="8" spans="1:3" ht="15.75" thickBot="1">
      <c r="A8" s="19" t="s">
        <v>62</v>
      </c>
      <c r="B8" s="20"/>
      <c r="C8" s="11">
        <f>C7+C6+C4+C3</f>
        <v>83.09</v>
      </c>
    </row>
    <row r="9" spans="1:3">
      <c r="A9" s="17" t="s">
        <v>63</v>
      </c>
      <c r="B9" s="18"/>
      <c r="C9" s="6" t="s">
        <v>8</v>
      </c>
    </row>
    <row r="10" spans="1:3" ht="15.75" thickBot="1">
      <c r="A10" s="19" t="s">
        <v>64</v>
      </c>
      <c r="B10" s="20"/>
      <c r="C10" s="11">
        <f>C8+C1+C2</f>
        <v>2696.06</v>
      </c>
    </row>
    <row r="11" spans="1:3" ht="15.75" thickBot="1">
      <c r="A11" s="21"/>
      <c r="B11" s="22"/>
      <c r="C11" s="23"/>
    </row>
  </sheetData>
  <mergeCells count="9">
    <mergeCell ref="A9:B9"/>
    <mergeCell ref="A10:B10"/>
    <mergeCell ref="A11:C11"/>
    <mergeCell ref="A1:B1"/>
    <mergeCell ref="A2:B2"/>
    <mergeCell ref="A3:B3"/>
    <mergeCell ref="A4:B4"/>
    <mergeCell ref="A5:B5"/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FAA825-A399-4293-97C5-FA81ADB22A6D}">
          <x14:formula1>
            <xm:f>Sheet1!$A$2:$A$53</xm:f>
          </x14:formula1>
          <xm:sqref>C9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6C7562913734693E49BE0E565F489" ma:contentTypeVersion="3" ma:contentTypeDescription="Create a new document." ma:contentTypeScope="" ma:versionID="9d0479288c44069e08e5f34c94b288b0">
  <xsd:schema xmlns:xsd="http://www.w3.org/2001/XMLSchema" xmlns:xs="http://www.w3.org/2001/XMLSchema" xmlns:p="http://schemas.microsoft.com/office/2006/metadata/properties" xmlns:ns2="680edbb1-fb0e-4d6b-8201-fe7fb8959914" targetNamespace="http://schemas.microsoft.com/office/2006/metadata/properties" ma:root="true" ma:fieldsID="3bfbec434568850eec8fe19067e4b95b" ns2:_="">
    <xsd:import namespace="680edbb1-fb0e-4d6b-8201-fe7fb89599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edbb1-fb0e-4d6b-8201-fe7fb89599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2F7B7E-F9FD-4C47-B708-42973B8337D5}"/>
</file>

<file path=customXml/itemProps2.xml><?xml version="1.0" encoding="utf-8"?>
<ds:datastoreItem xmlns:ds="http://schemas.openxmlformats.org/officeDocument/2006/customXml" ds:itemID="{86183B0F-0625-4AB4-8617-28A5BC2716A6}"/>
</file>

<file path=customXml/itemProps3.xml><?xml version="1.0" encoding="utf-8"?>
<ds:datastoreItem xmlns:ds="http://schemas.openxmlformats.org/officeDocument/2006/customXml" ds:itemID="{510BCB5F-6C38-4346-9D30-1A3D54354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 Willes</dc:creator>
  <cp:keywords/>
  <dc:description/>
  <cp:lastModifiedBy>Mukul Singh Nathawat</cp:lastModifiedBy>
  <cp:revision/>
  <dcterms:created xsi:type="dcterms:W3CDTF">2025-09-30T15:58:35Z</dcterms:created>
  <dcterms:modified xsi:type="dcterms:W3CDTF">2025-11-06T07:37:35Z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0x010100C0F6C7562913734693E49BE0E565F489</vt:lpwstr>
  </property>
</Properties>
</file>